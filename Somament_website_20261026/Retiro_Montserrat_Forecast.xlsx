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els\Documents\Somament\"/>
    </mc:Choice>
  </mc:AlternateContent>
  <xr:revisionPtr revIDLastSave="0" documentId="13_ncr:1_{0DC8719C-AFB4-43E9-A39C-4D614E1C2A0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Dashboard" sheetId="1" r:id="rId1"/>
    <sheet name="Supuestos" sheetId="2" r:id="rId2"/>
    <sheet name="P&amp;L Anual" sheetId="3" r:id="rId3"/>
    <sheet name="Inversión Inicial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4" l="1"/>
  <c r="B14" i="4"/>
  <c r="B13" i="4"/>
  <c r="B12" i="4"/>
  <c r="B11" i="4"/>
  <c r="B10" i="4"/>
  <c r="B9" i="4"/>
  <c r="B8" i="4"/>
  <c r="B7" i="4"/>
  <c r="B6" i="4"/>
  <c r="B5" i="4"/>
  <c r="B4" i="4"/>
  <c r="F40" i="3"/>
  <c r="C40" i="3"/>
  <c r="F34" i="3"/>
  <c r="E34" i="3"/>
  <c r="D34" i="3"/>
  <c r="C34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E31" i="3" s="1"/>
  <c r="D25" i="3"/>
  <c r="D31" i="3" s="1"/>
  <c r="C25" i="3"/>
  <c r="C31" i="3" s="1"/>
  <c r="E18" i="3"/>
  <c r="E17" i="3"/>
  <c r="D17" i="3"/>
  <c r="C17" i="3"/>
  <c r="F17" i="3" s="1"/>
  <c r="E7" i="3"/>
  <c r="C7" i="3"/>
  <c r="E6" i="3"/>
  <c r="E16" i="3" s="1"/>
  <c r="D6" i="3"/>
  <c r="F6" i="3" s="1"/>
  <c r="C6" i="3"/>
  <c r="C16" i="3" s="1"/>
  <c r="E5" i="3"/>
  <c r="E15" i="3" s="1"/>
  <c r="E19" i="3" s="1"/>
  <c r="D5" i="3"/>
  <c r="F5" i="3" s="1"/>
  <c r="F7" i="3" s="1"/>
  <c r="C5" i="3"/>
  <c r="C15" i="3" s="1"/>
  <c r="E3" i="3"/>
  <c r="D3" i="3"/>
  <c r="C3" i="3"/>
  <c r="E17" i="1"/>
  <c r="E13" i="1"/>
  <c r="F31" i="3" l="1"/>
  <c r="C10" i="3"/>
  <c r="C18" i="3"/>
  <c r="C19" i="3" s="1"/>
  <c r="D15" i="3"/>
  <c r="D7" i="3"/>
  <c r="D10" i="3"/>
  <c r="D12" i="3" s="1"/>
  <c r="D18" i="3"/>
  <c r="E10" i="3"/>
  <c r="E12" i="3" s="1"/>
  <c r="E21" i="3" s="1"/>
  <c r="C11" i="3"/>
  <c r="E11" i="3"/>
  <c r="D11" i="3"/>
  <c r="D16" i="3"/>
  <c r="F16" i="3" s="1"/>
  <c r="E36" i="3" l="1"/>
  <c r="E37" i="3" s="1"/>
  <c r="E22" i="3"/>
  <c r="E5" i="1"/>
  <c r="C12" i="3"/>
  <c r="F10" i="3"/>
  <c r="D19" i="3"/>
  <c r="F19" i="3" s="1"/>
  <c r="F15" i="3"/>
  <c r="F18" i="3"/>
  <c r="F11" i="3"/>
  <c r="C21" i="3" l="1"/>
  <c r="B5" i="1"/>
  <c r="F12" i="3"/>
  <c r="D21" i="3"/>
  <c r="D36" i="3" l="1"/>
  <c r="D22" i="3"/>
  <c r="F21" i="3"/>
  <c r="F22" i="3" s="1"/>
  <c r="C36" i="3"/>
  <c r="C22" i="3"/>
  <c r="B13" i="1" s="1"/>
  <c r="C42" i="3"/>
  <c r="C37" i="3" l="1"/>
  <c r="F36" i="3"/>
  <c r="B9" i="1"/>
  <c r="D37" i="3"/>
  <c r="E9" i="1"/>
  <c r="F37" i="3" l="1"/>
  <c r="C41" i="3"/>
  <c r="B17" i="1" s="1"/>
</calcChain>
</file>

<file path=xl/sharedStrings.xml><?xml version="1.0" encoding="utf-8"?>
<sst xmlns="http://schemas.openxmlformats.org/spreadsheetml/2006/main" count="183" uniqueCount="124">
  <si>
    <t>🏕️  RESUMEN EJECUTIVO — VIABILIDAD RETIRO MONTSERRAT</t>
  </si>
  <si>
    <t>Vista rápida. Para cambiar datos, ve a la hoja 'Supuestos'.</t>
  </si>
  <si>
    <t>💰 INGRESOS AÑO 1</t>
  </si>
  <si>
    <t>💰 INGRESOS AÑO 2</t>
  </si>
  <si>
    <t>🎯 EBITDA AÑO 1</t>
  </si>
  <si>
    <t>🎯 EBITDA AÑO 2</t>
  </si>
  <si>
    <t>📈 MARGEN BRUTO % (año 1)</t>
  </si>
  <si>
    <t>🏗️ INVERSIÓN INICIAL TOTAL</t>
  </si>
  <si>
    <t>⏱️ PAYBACK (años estimado)</t>
  </si>
  <si>
    <t>🌿 TOTAL RETIROS AÑO 1</t>
  </si>
  <si>
    <t>📌  GUÍA DE USO
1. Ve a la hoja 'Supuestos' y ajusta los valores en amarillo.
2. 'P&amp;L Anual' muestra la cuenta de resultados para 3 años, calculada automáticamente.
3. 'Inversión Inicial' detalla todos los costes de setup del terreno.
4. Este Dashboard se actualiza solo con los KPIs clave.
⚠️  IMPORTANTE: modelo de planificación. Los resultados reales dependerán de la
    ocupación real, permisos, estacionalidad y factores operativos.</t>
  </si>
  <si>
    <t>🏕️  RETIRO MONTSERRAT — MODELO FINANCIERO DE PREVISIÓN</t>
  </si>
  <si>
    <t>Introduce los valores en amarillo. Los resultados se calculan automáticamente en las otras hojas.</t>
  </si>
  <si>
    <t>🏕️  RETIRO CON CHAMÁN (alquiler del espacio)</t>
  </si>
  <si>
    <t>🏗️  INVERSIÓN INICIAL (setup del terreno)</t>
  </si>
  <si>
    <t>Precio — Alquiler espacio (tarifa plana/día)</t>
  </si>
  <si>
    <t>€</t>
  </si>
  <si>
    <t>Tienda gran carpa / yurta</t>
  </si>
  <si>
    <t>Precio extra — Pernocta (por persona)</t>
  </si>
  <si>
    <t>Suelo / tarima de madera</t>
  </si>
  <si>
    <t>Nº de retiros chamán/año (estimado)</t>
  </si>
  <si>
    <t>n</t>
  </si>
  <si>
    <t>Sistema calefacción (estufa de leña)</t>
  </si>
  <si>
    <t>Asistentes por retiro chamán (promedio)</t>
  </si>
  <si>
    <t>Baño seco (dry toilet)</t>
  </si>
  <si>
    <t>% asistentes que pernoctan (chamán)</t>
  </si>
  <si>
    <t>%</t>
  </si>
  <si>
    <t>Colchonetas (x15)</t>
  </si>
  <si>
    <t>Mantas y almohadas (x15 sets)</t>
  </si>
  <si>
    <t>🌿  RETIRO PROPIO (gestionado por vosotros)</t>
  </si>
  <si>
    <t>Sillas y mesas plegables</t>
  </si>
  <si>
    <t>Precio — Solo día (por persona)</t>
  </si>
  <si>
    <t>Preparación del terreno (limpieza, etc.)</t>
  </si>
  <si>
    <t>Precio — Con pernocta (por persona)</t>
  </si>
  <si>
    <t>Depósito agua + sistema básico</t>
  </si>
  <si>
    <t>Nº de retiros propios/año (estimado)</t>
  </si>
  <si>
    <t>Iluminación (solar / linternas)</t>
  </si>
  <si>
    <t>Asistentes por retiro propio (promedio)</t>
  </si>
  <si>
    <t>Otros / imprevistos (~10%)</t>
  </si>
  <si>
    <t>% asistentes que pernoctan (propio)</t>
  </si>
  <si>
    <t>📌  COSTES FIJOS ANUALES</t>
  </si>
  <si>
    <t>🍃  COSTES VARIABLES (por retiro)</t>
  </si>
  <si>
    <t>Seguro responsabilidad civil</t>
  </si>
  <si>
    <t>Agua potable (bidones, por retiro)</t>
  </si>
  <si>
    <t>Mantenimiento terreno / carpa</t>
  </si>
  <si>
    <t>Café / té / infusiones (por retiro)</t>
  </si>
  <si>
    <t>Gestión legal / asesoría</t>
  </si>
  <si>
    <t>Comida (ensaladas, básico) — por retiro</t>
  </si>
  <si>
    <t>Marketing / redes sociales</t>
  </si>
  <si>
    <t>Leña / gas / calefacción (por retiro)</t>
  </si>
  <si>
    <t>Plataforma reservas online</t>
  </si>
  <si>
    <t>Limpieza y consumibles (por retiro)</t>
  </si>
  <si>
    <t>Otros costes fijos anuales</t>
  </si>
  <si>
    <t>Transporte / logística (por retiro)</t>
  </si>
  <si>
    <t>📊  PARÁMETROS GENERALES</t>
  </si>
  <si>
    <t>🌙  COSTES ADICIONALES (por persona/noche)</t>
  </si>
  <si>
    <t>Año de inicio del proyecto</t>
  </si>
  <si>
    <t>año</t>
  </si>
  <si>
    <t>Colchoneta + ropa de cama (por persona/noche)</t>
  </si>
  <si>
    <t>Crecimiento anual retiros chamán</t>
  </si>
  <si>
    <t>Desayuno (por persona, si pernocta)</t>
  </si>
  <si>
    <t>Crecimiento anual retiros propios</t>
  </si>
  <si>
    <t>Años de amortización inversión</t>
  </si>
  <si>
    <t>🔵 Azul = valor que puedes cambiar
🟡 Amarillo = campo de entrada
⚫ Negro = fórmula automática
🟢 Verde = dato de otra hoja</t>
  </si>
  <si>
    <t>🏕️  CUENTA DE RESULTADOS — RETIRO MONTSERRAT (previsión 3 años)</t>
  </si>
  <si>
    <t>Los valores provienen de la hoja 'Supuestos'. Solo modifica los datos allí.</t>
  </si>
  <si>
    <t>Concepto</t>
  </si>
  <si>
    <t>Total 3 años</t>
  </si>
  <si>
    <t>📊  VOLUMEN DE RETIROS</t>
  </si>
  <si>
    <t xml:space="preserve">  Nº retiros Chamán</t>
  </si>
  <si>
    <t xml:space="preserve">  Nº retiros Propios</t>
  </si>
  <si>
    <t xml:space="preserve">  TOTAL Retiros</t>
  </si>
  <si>
    <t>💰  INGRESOS</t>
  </si>
  <si>
    <t xml:space="preserve">  Ingresos — Retiros Chamán (alquiler espacio)</t>
  </si>
  <si>
    <t xml:space="preserve">  Ingresos — Retiros Propios</t>
  </si>
  <si>
    <t xml:space="preserve">  TOTAL INGRESOS</t>
  </si>
  <si>
    <t>📦  COSTES VARIABLES</t>
  </si>
  <si>
    <t xml:space="preserve">  Costes variables Chamán (comida, agua, logística…)</t>
  </si>
  <si>
    <t xml:space="preserve">  Costes variables Propios (comida, agua, logística…)</t>
  </si>
  <si>
    <t xml:space="preserve">  Costes de pernocta — Chamán (colchón + desayuno)</t>
  </si>
  <si>
    <t xml:space="preserve">  Costes de pernocta — Propios (colchón + desayuno)</t>
  </si>
  <si>
    <t xml:space="preserve">  TOTAL COSTES VARIABLES</t>
  </si>
  <si>
    <t xml:space="preserve">  MARGEN BRUTO</t>
  </si>
  <si>
    <t xml:space="preserve">  % Margen Bruto</t>
  </si>
  <si>
    <t>🔒  COSTES FIJOS ANUALES</t>
  </si>
  <si>
    <t xml:space="preserve">  Seguro responsabilidad civil</t>
  </si>
  <si>
    <t xml:space="preserve">  Mantenimiento terreno / carpa</t>
  </si>
  <si>
    <t xml:space="preserve">  Gestión legal / asesoría</t>
  </si>
  <si>
    <t xml:space="preserve">  Marketing / redes sociales</t>
  </si>
  <si>
    <t xml:space="preserve">  Plataforma reservas online</t>
  </si>
  <si>
    <t xml:space="preserve">  Otros costes fijos</t>
  </si>
  <si>
    <t xml:space="preserve">  TOTAL COSTES FIJOS</t>
  </si>
  <si>
    <t>⚙️  AMORTIZACIÓN</t>
  </si>
  <si>
    <t xml:space="preserve">  Amortización anual inversión inicial</t>
  </si>
  <si>
    <t xml:space="preserve">  EBITDA (Margen Bruto − Costes Fijos)</t>
  </si>
  <si>
    <t xml:space="preserve">  RESULTADO ANTES IMPUESTOS (BAI)</t>
  </si>
  <si>
    <t>🎯  RENTABILIDAD</t>
  </si>
  <si>
    <t xml:space="preserve">  Inversión inicial total</t>
  </si>
  <si>
    <t>—</t>
  </si>
  <si>
    <t xml:space="preserve">  Payback estimado (años)</t>
  </si>
  <si>
    <t xml:space="preserve">  Break-even: retiros mínimos para cubrir costes fijos (año 1)</t>
  </si>
  <si>
    <t>🏗️  DETALLE INVERSIÓN INICIAL — PREPARACIÓN DEL TERRENO</t>
  </si>
  <si>
    <t>Cifras vinculadas a la hoja 'Supuestos'. Para modificarlas, ve allí.</t>
  </si>
  <si>
    <t>Importe (€)</t>
  </si>
  <si>
    <t>Categoría</t>
  </si>
  <si>
    <t>Notas</t>
  </si>
  <si>
    <t>Estructura</t>
  </si>
  <si>
    <t>Elemento principal del espacio</t>
  </si>
  <si>
    <t>Material para el suelo</t>
  </si>
  <si>
    <t>Confort</t>
  </si>
  <si>
    <t>Sin red eléctrica</t>
  </si>
  <si>
    <t>Saneamiento</t>
  </si>
  <si>
    <t>Sin alcantarillado</t>
  </si>
  <si>
    <t>Para pernoctas</t>
  </si>
  <si>
    <t>Mobiliario</t>
  </si>
  <si>
    <t>Obra</t>
  </si>
  <si>
    <t>Horas de trabajo y materiales</t>
  </si>
  <si>
    <t>Agua</t>
  </si>
  <si>
    <t>Sin red de agua</t>
  </si>
  <si>
    <t>Energía</t>
  </si>
  <si>
    <t>Imprevistos</t>
  </si>
  <si>
    <t>Margen de seguridad</t>
  </si>
  <si>
    <t>TOTAL INVERSIÓN INICIAL</t>
  </si>
  <si>
    <t>📌  La inversión se amortiza según el nº de años definido en Supuestos (F27). La cuota anual aparece en el P&amp;L.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</si>
</sst>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 €&quot;;\(#,##0&quot; €)&quot;;\-"/>
    <numFmt numFmtId="165" formatCode="0.0%;\(0.0%\);\-"/>
    <numFmt numFmtId="166" formatCode="0.0&quot; años&quot;"/>
    <numFmt numFmtId="167" formatCode="#,##0;\(#,##0\);\-"/>
    <numFmt numFmtId="168" formatCode="0.0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555555"/>
      <name val="Arial"/>
      <charset val="1"/>
    </font>
    <font>
      <b/>
      <sz val="9"/>
      <color rgb="FFFFFFFF"/>
      <name val="Arial"/>
      <charset val="1"/>
    </font>
    <font>
      <b/>
      <sz val="18"/>
      <color rgb="FF1A4731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757575"/>
      <name val="Arial"/>
      <charset val="1"/>
    </font>
    <font>
      <b/>
      <sz val="11"/>
      <color rgb="FFFFFFFF"/>
      <name val="Arial"/>
      <charset val="1"/>
    </font>
    <font>
      <b/>
      <sz val="10"/>
      <color rgb="FF1A4731"/>
      <name val="Arial"/>
      <charset val="1"/>
    </font>
    <font>
      <b/>
      <sz val="10"/>
      <color rgb="FF000000"/>
      <name val="Arial"/>
      <charset val="1"/>
    </font>
    <font>
      <sz val="10"/>
      <color rgb="FF006400"/>
      <name val="Arial"/>
      <charset val="1"/>
    </font>
    <font>
      <sz val="9"/>
      <color rgb="FF757575"/>
      <name val="Arial"/>
      <charset val="1"/>
    </font>
    <font>
      <b/>
      <sz val="11"/>
      <color rgb="FFFFD7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A4731"/>
        <bgColor rgb="FF333300"/>
      </patternFill>
    </fill>
    <fill>
      <patternFill patternType="solid">
        <fgColor rgb="FFD8F3DC"/>
        <bgColor rgb="FFCCFFFF"/>
      </patternFill>
    </fill>
    <fill>
      <patternFill patternType="solid">
        <fgColor rgb="FF2D6A4F"/>
        <bgColor rgb="FF555555"/>
      </patternFill>
    </fill>
    <fill>
      <patternFill patternType="solid">
        <fgColor rgb="FFFFFFFF"/>
        <bgColor rgb="FFFFFDE7"/>
      </patternFill>
    </fill>
    <fill>
      <patternFill patternType="solid">
        <fgColor rgb="FF52B788"/>
        <bgColor rgb="FF33CCCC"/>
      </patternFill>
    </fill>
    <fill>
      <patternFill patternType="solid">
        <fgColor rgb="FFFFFDE7"/>
        <bgColor rgb="FFFFFFFF"/>
      </patternFill>
    </fill>
    <fill>
      <patternFill patternType="solid">
        <fgColor rgb="FFF5F5F5"/>
        <bgColor rgb="FFFFFDE7"/>
      </patternFill>
    </fill>
    <fill>
      <patternFill patternType="solid">
        <fgColor rgb="FFFFEBEE"/>
        <bgColor rgb="FFF5F5F5"/>
      </patternFill>
    </fill>
  </fills>
  <borders count="4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medium">
        <color rgb="FF1A473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5" fillId="8" borderId="0" xfId="0" applyFont="1" applyFill="1" applyBorder="1" applyAlignment="1">
      <alignment horizontal="left" vertical="top" wrapText="1" indent="1"/>
    </xf>
    <xf numFmtId="0" fontId="7" fillId="2" borderId="0" xfId="0" applyFont="1" applyFill="1" applyBorder="1" applyAlignment="1">
      <alignment horizontal="left" vertical="center" indent="1"/>
    </xf>
    <xf numFmtId="0" fontId="7" fillId="4" borderId="0" xfId="0" applyFont="1" applyFill="1" applyBorder="1" applyAlignment="1">
      <alignment horizontal="left" vertical="center" indent="1"/>
    </xf>
    <xf numFmtId="0" fontId="6" fillId="2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left" vertical="top" wrapText="1" indent="2"/>
    </xf>
    <xf numFmtId="167" fontId="4" fillId="5" borderId="1" xfId="0" applyNumberFormat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indent="1"/>
    </xf>
    <xf numFmtId="164" fontId="9" fillId="7" borderId="2" xfId="0" applyNumberFormat="1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center" vertical="center" wrapText="1"/>
    </xf>
    <xf numFmtId="167" fontId="9" fillId="7" borderId="2" xfId="0" applyNumberFormat="1" applyFont="1" applyFill="1" applyBorder="1" applyAlignment="1">
      <alignment horizontal="right" vertical="center"/>
    </xf>
    <xf numFmtId="165" fontId="9" fillId="7" borderId="2" xfId="0" applyNumberFormat="1" applyFont="1" applyFill="1" applyBorder="1" applyAlignment="1">
      <alignment horizontal="right" vertical="center"/>
    </xf>
    <xf numFmtId="0" fontId="11" fillId="4" borderId="0" xfId="0" applyFont="1" applyFill="1" applyAlignment="1">
      <alignment horizontal="left" vertical="center" indent="1"/>
    </xf>
    <xf numFmtId="0" fontId="0" fillId="4" borderId="0" xfId="0" applyFill="1"/>
    <xf numFmtId="1" fontId="11" fillId="4" borderId="0" xfId="0" applyNumberFormat="1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indent="2"/>
    </xf>
    <xf numFmtId="0" fontId="0" fillId="5" borderId="0" xfId="0" applyFill="1"/>
    <xf numFmtId="167" fontId="8" fillId="5" borderId="2" xfId="0" applyNumberFormat="1" applyFont="1" applyFill="1" applyBorder="1" applyAlignment="1">
      <alignment horizontal="right" vertical="center"/>
    </xf>
    <xf numFmtId="0" fontId="12" fillId="3" borderId="3" xfId="0" applyFont="1" applyFill="1" applyBorder="1" applyAlignment="1">
      <alignment horizontal="left" vertical="center" indent="1"/>
    </xf>
    <xf numFmtId="0" fontId="0" fillId="3" borderId="0" xfId="0" applyFill="1"/>
    <xf numFmtId="167" fontId="12" fillId="3" borderId="3" xfId="0" applyNumberFormat="1" applyFont="1" applyFill="1" applyBorder="1" applyAlignment="1">
      <alignment horizontal="right" vertical="center"/>
    </xf>
    <xf numFmtId="164" fontId="8" fillId="5" borderId="2" xfId="0" applyNumberFormat="1" applyFont="1" applyFill="1" applyBorder="1" applyAlignment="1">
      <alignment horizontal="right" vertical="center"/>
    </xf>
    <xf numFmtId="164" fontId="12" fillId="3" borderId="3" xfId="0" applyNumberFormat="1" applyFont="1" applyFill="1" applyBorder="1" applyAlignment="1">
      <alignment horizontal="right" vertical="center"/>
    </xf>
    <xf numFmtId="0" fontId="12" fillId="9" borderId="3" xfId="0" applyFont="1" applyFill="1" applyBorder="1" applyAlignment="1">
      <alignment horizontal="left" vertical="center" indent="1"/>
    </xf>
    <xf numFmtId="0" fontId="0" fillId="9" borderId="0" xfId="0" applyFill="1"/>
    <xf numFmtId="164" fontId="12" fillId="9" borderId="3" xfId="0" applyNumberFormat="1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left" vertical="center" indent="2"/>
    </xf>
    <xf numFmtId="165" fontId="8" fillId="3" borderId="2" xfId="0" applyNumberFormat="1" applyFont="1" applyFill="1" applyBorder="1" applyAlignment="1">
      <alignment horizontal="right" vertical="center"/>
    </xf>
    <xf numFmtId="0" fontId="13" fillId="7" borderId="2" xfId="0" applyFont="1" applyFill="1" applyBorder="1" applyAlignment="1">
      <alignment horizontal="left" vertical="center" indent="2"/>
    </xf>
    <xf numFmtId="0" fontId="0" fillId="7" borderId="0" xfId="0" applyFill="1"/>
    <xf numFmtId="164" fontId="13" fillId="7" borderId="2" xfId="0" applyNumberFormat="1" applyFont="1" applyFill="1" applyBorder="1" applyAlignment="1">
      <alignment horizontal="right" vertical="center"/>
    </xf>
    <xf numFmtId="168" fontId="13" fillId="7" borderId="2" xfId="0" applyNumberFormat="1" applyFont="1" applyFill="1" applyBorder="1" applyAlignment="1">
      <alignment horizontal="right" vertical="center"/>
    </xf>
    <xf numFmtId="164" fontId="14" fillId="5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left" vertical="center" indent="1"/>
    </xf>
    <xf numFmtId="0" fontId="8" fillId="8" borderId="2" xfId="0" applyFont="1" applyFill="1" applyBorder="1" applyAlignment="1">
      <alignment horizontal="left" vertical="center" indent="1"/>
    </xf>
    <xf numFmtId="164" fontId="14" fillId="8" borderId="2" xfId="0" applyNumberFormat="1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left" vertical="center" indent="1"/>
    </xf>
    <xf numFmtId="0" fontId="11" fillId="2" borderId="2" xfId="0" applyFont="1" applyFill="1" applyBorder="1" applyAlignment="1">
      <alignment horizontal="left" vertical="center" indent="1"/>
    </xf>
    <xf numFmtId="164" fontId="16" fillId="2" borderId="2" xfId="0" applyNumberFormat="1" applyFont="1" applyFill="1" applyBorder="1" applyAlignment="1">
      <alignment horizontal="right" vertical="center"/>
    </xf>
    <xf numFmtId="0" fontId="0" fillId="2" borderId="0" xfId="0" applyFill="1"/>
    <xf numFmtId="0" fontId="7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2D6A4F"/>
      <rgbColor rgb="FFBDBDBD"/>
      <rgbColor rgb="FF757575"/>
      <rgbColor rgb="FF9999FF"/>
      <rgbColor rgb="FF993366"/>
      <rgbColor rgb="FFFFFDE7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555555"/>
      <rgbColor rgb="FF969696"/>
      <rgbColor rgb="FF003366"/>
      <rgbColor rgb="FF52B788"/>
      <rgbColor rgb="FF003300"/>
      <rgbColor rgb="FF333300"/>
      <rgbColor rgb="FF993300"/>
      <rgbColor rgb="FF993366"/>
      <rgbColor rgb="FF333399"/>
      <rgbColor rgb="FF1A47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showGridLines="0" zoomScaleNormal="100" workbookViewId="0">
      <selection activeCell="E13" sqref="E13:F13"/>
    </sheetView>
  </sheetViews>
  <sheetFormatPr defaultColWidth="8.7109375" defaultRowHeight="15" x14ac:dyDescent="0.25"/>
  <cols>
    <col min="1" max="1" width="3" customWidth="1"/>
    <col min="2" max="2" width="28" customWidth="1"/>
    <col min="3" max="3" width="18" customWidth="1"/>
    <col min="4" max="4" width="3" customWidth="1"/>
    <col min="5" max="5" width="28" customWidth="1"/>
    <col min="6" max="6" width="18" customWidth="1"/>
  </cols>
  <sheetData>
    <row r="1" spans="1:6" ht="25.5" customHeight="1" x14ac:dyDescent="0.25">
      <c r="A1" s="14" t="s">
        <v>0</v>
      </c>
      <c r="B1" s="14"/>
      <c r="C1" s="14"/>
      <c r="D1" s="14"/>
      <c r="E1" s="14"/>
      <c r="F1" s="14"/>
    </row>
    <row r="2" spans="1:6" ht="15.75" customHeight="1" x14ac:dyDescent="0.25">
      <c r="A2" s="13" t="s">
        <v>1</v>
      </c>
      <c r="B2" s="13"/>
      <c r="C2" s="13"/>
      <c r="D2" s="13"/>
      <c r="E2" s="13"/>
      <c r="F2" s="13"/>
    </row>
    <row r="4" spans="1:6" ht="18" customHeight="1" x14ac:dyDescent="0.25">
      <c r="B4" s="12" t="s">
        <v>2</v>
      </c>
      <c r="C4" s="12"/>
      <c r="E4" s="12" t="s">
        <v>3</v>
      </c>
      <c r="F4" s="12"/>
    </row>
    <row r="5" spans="1:6" ht="37.5" customHeight="1" x14ac:dyDescent="0.25">
      <c r="B5" s="11">
        <f>'P&amp;L Anual'!C12</f>
        <v>3248560</v>
      </c>
      <c r="C5" s="11"/>
      <c r="E5" s="11">
        <f>'P&amp;L Anual'!D12</f>
        <v>6564248560</v>
      </c>
      <c r="F5" s="11"/>
    </row>
    <row r="8" spans="1:6" ht="18" customHeight="1" x14ac:dyDescent="0.25">
      <c r="B8" s="10" t="s">
        <v>4</v>
      </c>
      <c r="C8" s="10"/>
      <c r="E8" s="10" t="s">
        <v>5</v>
      </c>
      <c r="F8" s="10"/>
    </row>
    <row r="9" spans="1:6" ht="37.5" customHeight="1" x14ac:dyDescent="0.25">
      <c r="B9" s="11">
        <f>'P&amp;L Anual'!C36</f>
        <v>2297710</v>
      </c>
      <c r="C9" s="11"/>
      <c r="E9" s="11">
        <f>'P&amp;L Anual'!D36</f>
        <v>4652203960</v>
      </c>
      <c r="F9" s="11"/>
    </row>
    <row r="12" spans="1:6" ht="18" customHeight="1" x14ac:dyDescent="0.25">
      <c r="B12" s="12" t="s">
        <v>6</v>
      </c>
      <c r="C12" s="12"/>
      <c r="E12" s="9" t="s">
        <v>7</v>
      </c>
      <c r="F12" s="9"/>
    </row>
    <row r="13" spans="1:6" ht="37.5" customHeight="1" x14ac:dyDescent="0.25">
      <c r="B13" s="8">
        <f>'P&amp;L Anual'!C22</f>
        <v>0.70831691580269407</v>
      </c>
      <c r="C13" s="8"/>
      <c r="E13" s="11">
        <f>SUM(Supuestos!F5:F15)</f>
        <v>9628</v>
      </c>
      <c r="F13" s="11"/>
    </row>
    <row r="16" spans="1:6" ht="18" customHeight="1" x14ac:dyDescent="0.25">
      <c r="B16" s="10" t="s">
        <v>8</v>
      </c>
      <c r="C16" s="10"/>
      <c r="E16" s="12" t="s">
        <v>9</v>
      </c>
      <c r="F16" s="12"/>
    </row>
    <row r="17" spans="1:6" ht="37.5" customHeight="1" x14ac:dyDescent="0.25">
      <c r="B17" s="7">
        <f>'P&amp;L Anual'!C41</f>
        <v>3.0629851033064916E-9</v>
      </c>
      <c r="C17" s="7"/>
      <c r="E17" s="6">
        <f>'P&amp;L Anual'!C7</f>
        <v>258</v>
      </c>
      <c r="F17" s="6"/>
    </row>
    <row r="22" spans="1:6" ht="109.5" customHeight="1" x14ac:dyDescent="0.25">
      <c r="A22" s="5" t="s">
        <v>10</v>
      </c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</sheetData>
  <mergeCells count="19">
    <mergeCell ref="A22:F29"/>
    <mergeCell ref="B13:C13"/>
    <mergeCell ref="E13:F13"/>
    <mergeCell ref="B16:C16"/>
    <mergeCell ref="E16:F16"/>
    <mergeCell ref="B17:C17"/>
    <mergeCell ref="E17:F17"/>
    <mergeCell ref="B8:C8"/>
    <mergeCell ref="E8:F8"/>
    <mergeCell ref="B9:C9"/>
    <mergeCell ref="E9:F9"/>
    <mergeCell ref="B12:C12"/>
    <mergeCell ref="E12:F12"/>
    <mergeCell ref="A1:F1"/>
    <mergeCell ref="A2:F2"/>
    <mergeCell ref="B4:C4"/>
    <mergeCell ref="E4:F4"/>
    <mergeCell ref="B5:C5"/>
    <mergeCell ref="E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showGridLines="0" tabSelected="1" topLeftCell="A3" zoomScaleNormal="100" workbookViewId="0">
      <selection activeCell="A31" sqref="A31:C34"/>
    </sheetView>
  </sheetViews>
  <sheetFormatPr defaultColWidth="8.7109375" defaultRowHeight="15" x14ac:dyDescent="0.25"/>
  <cols>
    <col min="1" max="1" width="38" customWidth="1"/>
    <col min="2" max="2" width="18" customWidth="1"/>
    <col min="3" max="3" width="10" customWidth="1"/>
    <col min="4" max="4" width="2" customWidth="1"/>
    <col min="5" max="5" width="38" customWidth="1"/>
    <col min="6" max="6" width="18" customWidth="1"/>
    <col min="7" max="7" width="10" customWidth="1"/>
  </cols>
  <sheetData>
    <row r="1" spans="1:7" ht="25.5" customHeight="1" x14ac:dyDescent="0.25">
      <c r="A1" s="4" t="s">
        <v>11</v>
      </c>
      <c r="B1" s="4"/>
      <c r="C1" s="4"/>
      <c r="D1" s="4"/>
      <c r="E1" s="4"/>
      <c r="F1" s="4"/>
      <c r="G1" s="4"/>
    </row>
    <row r="2" spans="1:7" ht="18" customHeight="1" x14ac:dyDescent="0.25">
      <c r="A2" s="13" t="s">
        <v>12</v>
      </c>
      <c r="B2" s="13"/>
      <c r="C2" s="13"/>
      <c r="D2" s="13"/>
      <c r="E2" s="13"/>
      <c r="F2" s="13"/>
      <c r="G2" s="13"/>
    </row>
    <row r="4" spans="1:7" ht="19.5" customHeight="1" x14ac:dyDescent="0.25">
      <c r="A4" s="3" t="s">
        <v>13</v>
      </c>
      <c r="B4" s="3"/>
      <c r="C4" s="3"/>
      <c r="E4" s="3" t="s">
        <v>14</v>
      </c>
      <c r="F4" s="3"/>
      <c r="G4" s="3"/>
    </row>
    <row r="5" spans="1:7" ht="16.5" customHeight="1" x14ac:dyDescent="0.25">
      <c r="A5" s="15" t="s">
        <v>15</v>
      </c>
      <c r="B5" s="16">
        <v>350</v>
      </c>
      <c r="C5" s="17" t="s">
        <v>16</v>
      </c>
      <c r="E5" s="15" t="s">
        <v>17</v>
      </c>
      <c r="F5" s="16">
        <v>3500</v>
      </c>
      <c r="G5" s="17" t="s">
        <v>16</v>
      </c>
    </row>
    <row r="6" spans="1:7" ht="16.5" customHeight="1" x14ac:dyDescent="0.25">
      <c r="A6" s="15" t="s">
        <v>18</v>
      </c>
      <c r="B6" s="16">
        <v>120</v>
      </c>
      <c r="C6" s="17" t="s">
        <v>16</v>
      </c>
      <c r="E6" s="15" t="s">
        <v>19</v>
      </c>
      <c r="F6" s="16">
        <v>1200</v>
      </c>
      <c r="G6" s="17" t="s">
        <v>16</v>
      </c>
    </row>
    <row r="7" spans="1:7" ht="16.5" customHeight="1" x14ac:dyDescent="0.25">
      <c r="A7" s="15" t="s">
        <v>20</v>
      </c>
      <c r="B7" s="18">
        <v>8</v>
      </c>
      <c r="C7" s="17" t="s">
        <v>21</v>
      </c>
      <c r="E7" s="15" t="s">
        <v>22</v>
      </c>
      <c r="F7" s="16">
        <v>800</v>
      </c>
      <c r="G7" s="17" t="s">
        <v>16</v>
      </c>
    </row>
    <row r="8" spans="1:7" ht="16.5" customHeight="1" x14ac:dyDescent="0.25">
      <c r="A8" s="15" t="s">
        <v>23</v>
      </c>
      <c r="B8" s="18">
        <v>15</v>
      </c>
      <c r="C8" s="17" t="s">
        <v>21</v>
      </c>
      <c r="E8" s="15" t="s">
        <v>24</v>
      </c>
      <c r="F8" s="16">
        <v>600</v>
      </c>
      <c r="G8" s="17" t="s">
        <v>16</v>
      </c>
    </row>
    <row r="9" spans="1:7" ht="16.5" customHeight="1" x14ac:dyDescent="0.25">
      <c r="A9" s="15" t="s">
        <v>25</v>
      </c>
      <c r="B9" s="19">
        <v>0.4</v>
      </c>
      <c r="C9" s="17" t="s">
        <v>26</v>
      </c>
      <c r="E9" s="15" t="s">
        <v>27</v>
      </c>
      <c r="F9" s="16">
        <v>750</v>
      </c>
      <c r="G9" s="17" t="s">
        <v>16</v>
      </c>
    </row>
    <row r="10" spans="1:7" ht="16.5" customHeight="1" x14ac:dyDescent="0.25">
      <c r="E10" s="15" t="s">
        <v>28</v>
      </c>
      <c r="F10" s="16">
        <v>450</v>
      </c>
      <c r="G10" s="17" t="s">
        <v>16</v>
      </c>
    </row>
    <row r="11" spans="1:7" ht="16.5" customHeight="1" x14ac:dyDescent="0.25">
      <c r="A11" s="3" t="s">
        <v>29</v>
      </c>
      <c r="B11" s="3"/>
      <c r="C11" s="3"/>
      <c r="E11" s="15" t="s">
        <v>30</v>
      </c>
      <c r="F11" s="16">
        <v>300</v>
      </c>
      <c r="G11" s="17" t="s">
        <v>16</v>
      </c>
    </row>
    <row r="12" spans="1:7" ht="16.5" customHeight="1" x14ac:dyDescent="0.25">
      <c r="A12" s="15" t="s">
        <v>31</v>
      </c>
      <c r="B12" s="16">
        <v>180</v>
      </c>
      <c r="C12" s="17" t="s">
        <v>16</v>
      </c>
      <c r="E12" s="15" t="s">
        <v>32</v>
      </c>
      <c r="F12" s="16">
        <v>500</v>
      </c>
      <c r="G12" s="17" t="s">
        <v>16</v>
      </c>
    </row>
    <row r="13" spans="1:7" ht="16.5" customHeight="1" x14ac:dyDescent="0.25">
      <c r="A13" s="15" t="s">
        <v>33</v>
      </c>
      <c r="B13" s="16">
        <v>250</v>
      </c>
      <c r="C13" s="17" t="s">
        <v>16</v>
      </c>
      <c r="E13" s="15" t="s">
        <v>34</v>
      </c>
      <c r="F13" s="16">
        <v>400</v>
      </c>
      <c r="G13" s="17" t="s">
        <v>16</v>
      </c>
    </row>
    <row r="14" spans="1:7" ht="16.5" customHeight="1" x14ac:dyDescent="0.25">
      <c r="A14" s="15" t="s">
        <v>35</v>
      </c>
      <c r="B14" s="18">
        <v>6</v>
      </c>
      <c r="C14" s="17" t="s">
        <v>21</v>
      </c>
      <c r="E14" s="15" t="s">
        <v>36</v>
      </c>
      <c r="F14" s="16">
        <v>250</v>
      </c>
      <c r="G14" s="17" t="s">
        <v>16</v>
      </c>
    </row>
    <row r="15" spans="1:7" ht="16.5" customHeight="1" x14ac:dyDescent="0.25">
      <c r="A15" s="15" t="s">
        <v>37</v>
      </c>
      <c r="B15" s="18">
        <v>12</v>
      </c>
      <c r="C15" s="17" t="s">
        <v>21</v>
      </c>
      <c r="E15" s="15" t="s">
        <v>38</v>
      </c>
      <c r="F15" s="16">
        <v>878</v>
      </c>
      <c r="G15" s="17" t="s">
        <v>16</v>
      </c>
    </row>
    <row r="16" spans="1:7" ht="16.5" customHeight="1" x14ac:dyDescent="0.25">
      <c r="A16" s="15" t="s">
        <v>39</v>
      </c>
      <c r="B16" s="19">
        <v>0.5</v>
      </c>
      <c r="C16" s="17" t="s">
        <v>26</v>
      </c>
    </row>
    <row r="17" spans="1:7" ht="19.5" customHeight="1" x14ac:dyDescent="0.25">
      <c r="E17" s="3" t="s">
        <v>40</v>
      </c>
      <c r="F17" s="3"/>
      <c r="G17" s="3"/>
    </row>
    <row r="18" spans="1:7" ht="16.5" customHeight="1" x14ac:dyDescent="0.25">
      <c r="A18" s="3" t="s">
        <v>41</v>
      </c>
      <c r="B18" s="3"/>
      <c r="C18" s="3"/>
      <c r="E18" s="15" t="s">
        <v>42</v>
      </c>
      <c r="F18" s="16">
        <v>1200</v>
      </c>
      <c r="G18" s="17" t="s">
        <v>16</v>
      </c>
    </row>
    <row r="19" spans="1:7" ht="16.5" customHeight="1" x14ac:dyDescent="0.25">
      <c r="A19" s="15" t="s">
        <v>43</v>
      </c>
      <c r="B19" s="16">
        <v>40</v>
      </c>
      <c r="C19" s="17" t="s">
        <v>16</v>
      </c>
      <c r="E19" s="15" t="s">
        <v>44</v>
      </c>
      <c r="F19" s="16">
        <v>600</v>
      </c>
      <c r="G19" s="17" t="s">
        <v>16</v>
      </c>
    </row>
    <row r="20" spans="1:7" ht="16.5" customHeight="1" x14ac:dyDescent="0.25">
      <c r="A20" s="15" t="s">
        <v>45</v>
      </c>
      <c r="B20" s="16">
        <v>25</v>
      </c>
      <c r="C20" s="17" t="s">
        <v>16</v>
      </c>
      <c r="E20" s="15" t="s">
        <v>46</v>
      </c>
      <c r="F20" s="16">
        <v>800</v>
      </c>
      <c r="G20" s="17" t="s">
        <v>16</v>
      </c>
    </row>
    <row r="21" spans="1:7" ht="16.5" customHeight="1" x14ac:dyDescent="0.25">
      <c r="A21" s="15" t="s">
        <v>47</v>
      </c>
      <c r="B21" s="16">
        <v>80</v>
      </c>
      <c r="C21" s="17" t="s">
        <v>16</v>
      </c>
      <c r="E21" s="15" t="s">
        <v>48</v>
      </c>
      <c r="F21" s="16">
        <v>500</v>
      </c>
      <c r="G21" s="17" t="s">
        <v>16</v>
      </c>
    </row>
    <row r="22" spans="1:7" ht="16.5" customHeight="1" x14ac:dyDescent="0.25">
      <c r="A22" s="15" t="s">
        <v>49</v>
      </c>
      <c r="B22" s="16">
        <v>30</v>
      </c>
      <c r="C22" s="17" t="s">
        <v>16</v>
      </c>
      <c r="E22" s="15" t="s">
        <v>50</v>
      </c>
      <c r="F22" s="16">
        <v>200</v>
      </c>
      <c r="G22" s="17" t="s">
        <v>16</v>
      </c>
    </row>
    <row r="23" spans="1:7" ht="16.5" customHeight="1" x14ac:dyDescent="0.25">
      <c r="A23" s="15" t="s">
        <v>51</v>
      </c>
      <c r="B23" s="16">
        <v>20</v>
      </c>
      <c r="C23" s="17" t="s">
        <v>16</v>
      </c>
      <c r="E23" s="15" t="s">
        <v>52</v>
      </c>
      <c r="F23" s="16">
        <v>300</v>
      </c>
      <c r="G23" s="17" t="s">
        <v>16</v>
      </c>
    </row>
    <row r="24" spans="1:7" ht="16.5" customHeight="1" x14ac:dyDescent="0.25">
      <c r="A24" s="15" t="s">
        <v>53</v>
      </c>
      <c r="B24" s="16">
        <v>50</v>
      </c>
      <c r="C24" s="17" t="s">
        <v>16</v>
      </c>
    </row>
    <row r="25" spans="1:7" ht="19.5" customHeight="1" x14ac:dyDescent="0.25">
      <c r="E25" s="2" t="s">
        <v>54</v>
      </c>
      <c r="F25" s="2"/>
      <c r="G25" s="2"/>
    </row>
    <row r="26" spans="1:7" ht="16.5" customHeight="1" x14ac:dyDescent="0.25">
      <c r="A26" s="3" t="s">
        <v>55</v>
      </c>
      <c r="B26" s="3"/>
      <c r="C26" s="3"/>
      <c r="E26" s="15" t="s">
        <v>56</v>
      </c>
      <c r="F26" s="18">
        <v>2025</v>
      </c>
      <c r="G26" s="17" t="s">
        <v>57</v>
      </c>
    </row>
    <row r="27" spans="1:7" ht="16.5" customHeight="1" x14ac:dyDescent="0.25">
      <c r="A27" s="15" t="s">
        <v>58</v>
      </c>
      <c r="B27" s="16">
        <v>5</v>
      </c>
      <c r="C27" s="17" t="s">
        <v>16</v>
      </c>
      <c r="E27" s="15" t="s">
        <v>59</v>
      </c>
      <c r="F27" s="19">
        <v>0.1</v>
      </c>
      <c r="G27" s="17" t="s">
        <v>26</v>
      </c>
    </row>
    <row r="28" spans="1:7" ht="16.5" customHeight="1" x14ac:dyDescent="0.25">
      <c r="A28" s="15" t="s">
        <v>60</v>
      </c>
      <c r="B28" s="16">
        <v>8</v>
      </c>
      <c r="C28" s="17" t="s">
        <v>16</v>
      </c>
      <c r="E28" s="15" t="s">
        <v>61</v>
      </c>
      <c r="F28" s="19">
        <v>0.15</v>
      </c>
      <c r="G28" s="17" t="s">
        <v>26</v>
      </c>
    </row>
    <row r="29" spans="1:7" ht="16.5" customHeight="1" x14ac:dyDescent="0.25">
      <c r="E29" s="15" t="s">
        <v>62</v>
      </c>
      <c r="F29" s="18">
        <v>5</v>
      </c>
      <c r="G29" s="17" t="s">
        <v>21</v>
      </c>
    </row>
    <row r="31" spans="1:7" ht="64.5" customHeight="1" x14ac:dyDescent="0.25">
      <c r="A31" s="1" t="s">
        <v>63</v>
      </c>
      <c r="B31" s="1"/>
      <c r="C31" s="1"/>
    </row>
    <row r="32" spans="1:7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</sheetData>
  <mergeCells count="10">
    <mergeCell ref="E17:G17"/>
    <mergeCell ref="A18:C18"/>
    <mergeCell ref="E25:G25"/>
    <mergeCell ref="A26:C26"/>
    <mergeCell ref="A31:C34"/>
    <mergeCell ref="A1:G1"/>
    <mergeCell ref="A2:G2"/>
    <mergeCell ref="A4:C4"/>
    <mergeCell ref="E4:G4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showGridLines="0" zoomScaleNormal="100" workbookViewId="0">
      <selection activeCell="E3" sqref="E1:F1048576"/>
    </sheetView>
  </sheetViews>
  <sheetFormatPr defaultColWidth="8.7109375" defaultRowHeight="15" x14ac:dyDescent="0.25"/>
  <cols>
    <col min="1" max="1" width="36" customWidth="1"/>
    <col min="2" max="2" width="3" customWidth="1"/>
    <col min="3" max="4" width="16" customWidth="1"/>
    <col min="5" max="6" width="19.140625" bestFit="1" customWidth="1"/>
  </cols>
  <sheetData>
    <row r="1" spans="1:6" ht="25.5" customHeight="1" x14ac:dyDescent="0.25">
      <c r="A1" s="4" t="s">
        <v>64</v>
      </c>
      <c r="B1" s="4"/>
      <c r="C1" s="4"/>
      <c r="D1" s="4"/>
      <c r="E1" s="4"/>
      <c r="F1" s="4"/>
    </row>
    <row r="2" spans="1:6" ht="15.75" customHeight="1" x14ac:dyDescent="0.25">
      <c r="A2" s="13" t="s">
        <v>65</v>
      </c>
      <c r="B2" s="13"/>
      <c r="C2" s="13"/>
      <c r="D2" s="13"/>
      <c r="E2" s="13"/>
      <c r="F2" s="13"/>
    </row>
    <row r="3" spans="1:6" ht="21.75" customHeight="1" x14ac:dyDescent="0.25">
      <c r="A3" s="20" t="s">
        <v>66</v>
      </c>
      <c r="B3" s="21"/>
      <c r="C3" s="22">
        <f>Supuestos!F24+0</f>
        <v>0</v>
      </c>
      <c r="D3" s="22">
        <f>Supuestos!F24+1</f>
        <v>1</v>
      </c>
      <c r="E3" s="22">
        <f>Supuestos!F24+2</f>
        <v>2</v>
      </c>
      <c r="F3" s="23" t="s">
        <v>67</v>
      </c>
    </row>
    <row r="4" spans="1:6" ht="18.75" customHeight="1" x14ac:dyDescent="0.25">
      <c r="A4" s="51" t="s">
        <v>68</v>
      </c>
      <c r="B4" s="51"/>
      <c r="C4" s="51"/>
      <c r="D4" s="51"/>
      <c r="E4" s="51"/>
      <c r="F4" s="51"/>
    </row>
    <row r="5" spans="1:6" ht="16.5" customHeight="1" x14ac:dyDescent="0.25">
      <c r="A5" s="24" t="s">
        <v>69</v>
      </c>
      <c r="B5" s="25"/>
      <c r="C5" s="26">
        <f>ROUND(Supuestos!B7,0)</f>
        <v>8</v>
      </c>
      <c r="D5" s="26">
        <f>ROUND(Supuestos!B7*(1+Supuestos!F25)^1,0)</f>
        <v>8</v>
      </c>
      <c r="E5" s="26">
        <f>ROUND(Supuestos!B7*(1+Supuestos!F25)^2,0)</f>
        <v>8</v>
      </c>
      <c r="F5" s="26">
        <f>SUM(C5:E5)</f>
        <v>24</v>
      </c>
    </row>
    <row r="6" spans="1:6" ht="16.5" customHeight="1" x14ac:dyDescent="0.25">
      <c r="A6" s="24" t="s">
        <v>70</v>
      </c>
      <c r="B6" s="25"/>
      <c r="C6" s="26">
        <f>ROUND(Supuestos!B13,0)</f>
        <v>250</v>
      </c>
      <c r="D6" s="26">
        <f>ROUND(Supuestos!B13*(1+Supuestos!F26)^1,0)</f>
        <v>506500</v>
      </c>
      <c r="E6" s="26">
        <f>ROUND(Supuestos!B13*(1+Supuestos!F26)^2,0)</f>
        <v>1026169000</v>
      </c>
      <c r="F6" s="26">
        <f>SUM(C6:E6)</f>
        <v>1026675750</v>
      </c>
    </row>
    <row r="7" spans="1:6" ht="19.5" customHeight="1" x14ac:dyDescent="0.25">
      <c r="A7" s="27" t="s">
        <v>71</v>
      </c>
      <c r="B7" s="28"/>
      <c r="C7" s="29">
        <f>C5+C6</f>
        <v>258</v>
      </c>
      <c r="D7" s="29">
        <f>D5+D6</f>
        <v>506508</v>
      </c>
      <c r="E7" s="29">
        <f>E5+E6</f>
        <v>1026169008</v>
      </c>
      <c r="F7" s="29">
        <f>F5+F6</f>
        <v>1026675774</v>
      </c>
    </row>
    <row r="9" spans="1:6" ht="18.75" customHeight="1" x14ac:dyDescent="0.25">
      <c r="A9" s="51" t="s">
        <v>72</v>
      </c>
      <c r="B9" s="51"/>
      <c r="C9" s="51"/>
      <c r="D9" s="51"/>
      <c r="E9" s="51"/>
      <c r="F9" s="51"/>
    </row>
    <row r="10" spans="1:6" ht="16.5" customHeight="1" x14ac:dyDescent="0.25">
      <c r="A10" s="24" t="s">
        <v>73</v>
      </c>
      <c r="B10" s="25"/>
      <c r="C10" s="30">
        <f>C5*(Supuestos!B5+Supuestos!B6*Supuestos!B8*Supuestos!B9)</f>
        <v>8560</v>
      </c>
      <c r="D10" s="30">
        <f>D5*(Supuestos!B5+Supuestos!B6*Supuestos!B8*Supuestos!B9)</f>
        <v>8560</v>
      </c>
      <c r="E10" s="30">
        <f>E5*(Supuestos!B5+Supuestos!B6*Supuestos!B8*Supuestos!B9)</f>
        <v>8560</v>
      </c>
      <c r="F10" s="30">
        <f>SUM(C10:E10)</f>
        <v>25680</v>
      </c>
    </row>
    <row r="11" spans="1:6" ht="16.5" customHeight="1" x14ac:dyDescent="0.25">
      <c r="A11" s="24" t="s">
        <v>74</v>
      </c>
      <c r="B11" s="25"/>
      <c r="C11" s="30">
        <f>C6*Supuestos!B14*(Supuestos!B11*(1-Supuestos!B15)+Supuestos!B12*Supuestos!B15)</f>
        <v>3240000</v>
      </c>
      <c r="D11" s="30">
        <f>D6*Supuestos!B14*(Supuestos!B11*(1-Supuestos!B15)+Supuestos!B12*Supuestos!B15)</f>
        <v>6564240000</v>
      </c>
      <c r="E11" s="30">
        <f>E6*Supuestos!B14*(Supuestos!B11*(1-Supuestos!B15)+Supuestos!B12*Supuestos!B15)</f>
        <v>13299150240000</v>
      </c>
      <c r="F11" s="30">
        <f>SUM(C11:E11)</f>
        <v>13305717720000</v>
      </c>
    </row>
    <row r="12" spans="1:6" ht="19.5" customHeight="1" x14ac:dyDescent="0.25">
      <c r="A12" s="27" t="s">
        <v>75</v>
      </c>
      <c r="B12" s="28"/>
      <c r="C12" s="31">
        <f>C10+C11</f>
        <v>3248560</v>
      </c>
      <c r="D12" s="31">
        <f>D10+D11</f>
        <v>6564248560</v>
      </c>
      <c r="E12" s="31">
        <f>E10+E11</f>
        <v>13299150248560</v>
      </c>
      <c r="F12" s="31">
        <f>SUM(C12:E12)</f>
        <v>13305717745680</v>
      </c>
    </row>
    <row r="14" spans="1:6" ht="18.75" customHeight="1" x14ac:dyDescent="0.25">
      <c r="A14" s="51" t="s">
        <v>76</v>
      </c>
      <c r="B14" s="51"/>
      <c r="C14" s="51"/>
      <c r="D14" s="51"/>
      <c r="E14" s="51"/>
      <c r="F14" s="51"/>
    </row>
    <row r="15" spans="1:6" ht="16.5" customHeight="1" x14ac:dyDescent="0.25">
      <c r="A15" s="24" t="s">
        <v>77</v>
      </c>
      <c r="B15" s="25"/>
      <c r="C15" s="30">
        <f>C5*(Supuestos!B17+Supuestos!B18+Supuestos!B19+Supuestos!B20+Supuestos!B21+Supuestos!B22)</f>
        <v>1400</v>
      </c>
      <c r="D15" s="30">
        <f>D5*(Supuestos!B17+Supuestos!B18+Supuestos!B19+Supuestos!B20+Supuestos!B21+Supuestos!B22)</f>
        <v>1400</v>
      </c>
      <c r="E15" s="30">
        <f>E5*(Supuestos!B17+Supuestos!B18+Supuestos!B19+Supuestos!B20+Supuestos!B21+Supuestos!B22)</f>
        <v>1400</v>
      </c>
      <c r="F15" s="30">
        <f>SUM(C15:E15)</f>
        <v>4200</v>
      </c>
    </row>
    <row r="16" spans="1:6" ht="16.5" customHeight="1" x14ac:dyDescent="0.25">
      <c r="A16" s="24" t="s">
        <v>78</v>
      </c>
      <c r="B16" s="25"/>
      <c r="C16" s="30">
        <f>C6*(Supuestos!B17+Supuestos!B18+Supuestos!B19+Supuestos!B20+Supuestos!B21+Supuestos!B22)</f>
        <v>43750</v>
      </c>
      <c r="D16" s="30">
        <f>D6*(Supuestos!B17+Supuestos!B18+Supuestos!B19+Supuestos!B20+Supuestos!B21+Supuestos!B22)</f>
        <v>88637500</v>
      </c>
      <c r="E16" s="30">
        <f>E6*(Supuestos!B17+Supuestos!B18+Supuestos!B19+Supuestos!B20+Supuestos!B21+Supuestos!B22)</f>
        <v>179579575000</v>
      </c>
      <c r="F16" s="30">
        <f>SUM(C16:E16)</f>
        <v>179668256250</v>
      </c>
    </row>
    <row r="17" spans="1:6" ht="16.5" customHeight="1" x14ac:dyDescent="0.25">
      <c r="A17" s="24" t="s">
        <v>79</v>
      </c>
      <c r="B17" s="25"/>
      <c r="C17" s="30">
        <f>C5*Supuestos!B8*Supuestos!B9*(Supuestos!B24+Supuestos!B25)</f>
        <v>2400</v>
      </c>
      <c r="D17" s="30">
        <f>D5*Supuestos!B8*Supuestos!B9*(Supuestos!B24+Supuestos!B25)</f>
        <v>2400</v>
      </c>
      <c r="E17" s="30">
        <f>E5*Supuestos!B8*Supuestos!B9*(Supuestos!B24+Supuestos!B25)</f>
        <v>2400</v>
      </c>
      <c r="F17" s="30">
        <f>SUM(C17:E17)</f>
        <v>7200</v>
      </c>
    </row>
    <row r="18" spans="1:6" ht="16.5" customHeight="1" x14ac:dyDescent="0.25">
      <c r="A18" s="24" t="s">
        <v>80</v>
      </c>
      <c r="B18" s="25"/>
      <c r="C18" s="30">
        <f>C6*Supuestos!B14*Supuestos!B15*(Supuestos!B24+Supuestos!B25)</f>
        <v>900000</v>
      </c>
      <c r="D18" s="30">
        <f>D6*Supuestos!B14*Supuestos!B15*(Supuestos!B24+Supuestos!B25)</f>
        <v>1823400000</v>
      </c>
      <c r="E18" s="30">
        <f>E6*Supuestos!B14*Supuestos!B15*(Supuestos!B24+Supuestos!B25)</f>
        <v>3694208400000</v>
      </c>
      <c r="F18" s="30">
        <f>SUM(C18:E18)</f>
        <v>3696032700000</v>
      </c>
    </row>
    <row r="19" spans="1:6" ht="19.5" customHeight="1" x14ac:dyDescent="0.25">
      <c r="A19" s="32" t="s">
        <v>81</v>
      </c>
      <c r="B19" s="33"/>
      <c r="C19" s="34">
        <f>C15+C16+C17+C18</f>
        <v>947550</v>
      </c>
      <c r="D19" s="34">
        <f>D15+D16+D17+D18</f>
        <v>1912041300</v>
      </c>
      <c r="E19" s="34">
        <f>E15+E16+E17+E18</f>
        <v>3873787978800</v>
      </c>
      <c r="F19" s="34">
        <f>SUM(C19:E19)</f>
        <v>3875700967650</v>
      </c>
    </row>
    <row r="21" spans="1:6" ht="19.5" customHeight="1" x14ac:dyDescent="0.25">
      <c r="A21" s="27" t="s">
        <v>82</v>
      </c>
      <c r="B21" s="28"/>
      <c r="C21" s="31">
        <f>C12-C19</f>
        <v>2301010</v>
      </c>
      <c r="D21" s="31">
        <f>D12-D19</f>
        <v>4652207260</v>
      </c>
      <c r="E21" s="31">
        <f>E12-E19</f>
        <v>9425362269760</v>
      </c>
      <c r="F21" s="31">
        <f>SUM(C21:E21)</f>
        <v>9430016778030</v>
      </c>
    </row>
    <row r="22" spans="1:6" ht="16.5" customHeight="1" x14ac:dyDescent="0.25">
      <c r="A22" s="35" t="s">
        <v>83</v>
      </c>
      <c r="B22" s="28"/>
      <c r="C22" s="36">
        <f>IFERROR(C21/C12,0)</f>
        <v>0.70831691580269407</v>
      </c>
      <c r="D22" s="36">
        <f>IFERROR(D21/D12,0)</f>
        <v>0.70871893674909836</v>
      </c>
      <c r="E22" s="36">
        <f>IFERROR(E21/E12,0)</f>
        <v>0.70871913570421952</v>
      </c>
      <c r="F22" s="36">
        <f>IFERROR(F21/F12,0)</f>
        <v>0.70871913550786592</v>
      </c>
    </row>
    <row r="24" spans="1:6" ht="18.75" customHeight="1" x14ac:dyDescent="0.25">
      <c r="A24" s="51" t="s">
        <v>84</v>
      </c>
      <c r="B24" s="51"/>
      <c r="C24" s="51"/>
      <c r="D24" s="51"/>
      <c r="E24" s="51"/>
      <c r="F24" s="51"/>
    </row>
    <row r="25" spans="1:6" ht="16.5" customHeight="1" x14ac:dyDescent="0.25">
      <c r="A25" s="24" t="s">
        <v>85</v>
      </c>
      <c r="B25" s="25"/>
      <c r="C25" s="30">
        <f>Supuestos!F17</f>
        <v>0</v>
      </c>
      <c r="D25" s="30">
        <f>Supuestos!F17</f>
        <v>0</v>
      </c>
      <c r="E25" s="30">
        <f>Supuestos!F17</f>
        <v>0</v>
      </c>
      <c r="F25" s="30">
        <f>Supuestos!F17*3</f>
        <v>0</v>
      </c>
    </row>
    <row r="26" spans="1:6" ht="16.5" customHeight="1" x14ac:dyDescent="0.25">
      <c r="A26" s="24" t="s">
        <v>86</v>
      </c>
      <c r="B26" s="25"/>
      <c r="C26" s="30">
        <f>Supuestos!F18</f>
        <v>1200</v>
      </c>
      <c r="D26" s="30">
        <f>Supuestos!F18</f>
        <v>1200</v>
      </c>
      <c r="E26" s="30">
        <f>Supuestos!F18</f>
        <v>1200</v>
      </c>
      <c r="F26" s="30">
        <f>Supuestos!F18*3</f>
        <v>3600</v>
      </c>
    </row>
    <row r="27" spans="1:6" ht="16.5" customHeight="1" x14ac:dyDescent="0.25">
      <c r="A27" s="24" t="s">
        <v>87</v>
      </c>
      <c r="B27" s="25"/>
      <c r="C27" s="30">
        <f>Supuestos!F19</f>
        <v>600</v>
      </c>
      <c r="D27" s="30">
        <f>Supuestos!F19</f>
        <v>600</v>
      </c>
      <c r="E27" s="30">
        <f>Supuestos!F19</f>
        <v>600</v>
      </c>
      <c r="F27" s="30">
        <f>Supuestos!F19*3</f>
        <v>1800</v>
      </c>
    </row>
    <row r="28" spans="1:6" ht="16.5" customHeight="1" x14ac:dyDescent="0.25">
      <c r="A28" s="24" t="s">
        <v>88</v>
      </c>
      <c r="B28" s="25"/>
      <c r="C28" s="30">
        <f>Supuestos!F20</f>
        <v>800</v>
      </c>
      <c r="D28" s="30">
        <f>Supuestos!F20</f>
        <v>800</v>
      </c>
      <c r="E28" s="30">
        <f>Supuestos!F20</f>
        <v>800</v>
      </c>
      <c r="F28" s="30">
        <f>Supuestos!F20*3</f>
        <v>2400</v>
      </c>
    </row>
    <row r="29" spans="1:6" ht="16.5" customHeight="1" x14ac:dyDescent="0.25">
      <c r="A29" s="24" t="s">
        <v>89</v>
      </c>
      <c r="B29" s="25"/>
      <c r="C29" s="30">
        <f>Supuestos!F21</f>
        <v>500</v>
      </c>
      <c r="D29" s="30">
        <f>Supuestos!F21</f>
        <v>500</v>
      </c>
      <c r="E29" s="30">
        <f>Supuestos!F21</f>
        <v>500</v>
      </c>
      <c r="F29" s="30">
        <f>Supuestos!F21*3</f>
        <v>1500</v>
      </c>
    </row>
    <row r="30" spans="1:6" ht="16.5" customHeight="1" x14ac:dyDescent="0.25">
      <c r="A30" s="24" t="s">
        <v>90</v>
      </c>
      <c r="B30" s="25"/>
      <c r="C30" s="30">
        <f>Supuestos!F22</f>
        <v>200</v>
      </c>
      <c r="D30" s="30">
        <f>Supuestos!F22</f>
        <v>200</v>
      </c>
      <c r="E30" s="30">
        <f>Supuestos!F22</f>
        <v>200</v>
      </c>
      <c r="F30" s="30">
        <f>Supuestos!F22*3</f>
        <v>600</v>
      </c>
    </row>
    <row r="31" spans="1:6" ht="19.5" customHeight="1" x14ac:dyDescent="0.25">
      <c r="A31" s="32" t="s">
        <v>91</v>
      </c>
      <c r="B31" s="33"/>
      <c r="C31" s="34">
        <f>C25+C26+C27+C28+C29+C30</f>
        <v>3300</v>
      </c>
      <c r="D31" s="34">
        <f>D25+D26+D27+D28+D29+D30</f>
        <v>3300</v>
      </c>
      <c r="E31" s="34">
        <f>E25+E26+E27+E28+E29+E30</f>
        <v>3300</v>
      </c>
      <c r="F31" s="34">
        <f>SUM(C31:E31)</f>
        <v>9900</v>
      </c>
    </row>
    <row r="33" spans="1:6" ht="18.75" customHeight="1" x14ac:dyDescent="0.25">
      <c r="A33" s="51" t="s">
        <v>92</v>
      </c>
      <c r="B33" s="51"/>
      <c r="C33" s="51"/>
      <c r="D33" s="51"/>
      <c r="E33" s="51"/>
      <c r="F33" s="51"/>
    </row>
    <row r="34" spans="1:6" ht="16.5" customHeight="1" x14ac:dyDescent="0.25">
      <c r="A34" s="24" t="s">
        <v>93</v>
      </c>
      <c r="B34" s="25"/>
      <c r="C34" s="30">
        <f>IFERROR(SUM(Supuestos!F5:F15)/Supuestos!F27,0)</f>
        <v>96280</v>
      </c>
      <c r="D34" s="30">
        <f>IFERROR(SUM(Supuestos!F5:F15)/Supuestos!F27,0)</f>
        <v>96280</v>
      </c>
      <c r="E34" s="30">
        <f>IFERROR(SUM(Supuestos!F5:F15)/Supuestos!F27,0)</f>
        <v>96280</v>
      </c>
      <c r="F34" s="30">
        <f>IFERROR(SUM(Supuestos!F5:F15)/Supuestos!F27,0)*3</f>
        <v>288840</v>
      </c>
    </row>
    <row r="36" spans="1:6" ht="19.5" customHeight="1" x14ac:dyDescent="0.25">
      <c r="A36" s="27" t="s">
        <v>94</v>
      </c>
      <c r="B36" s="28"/>
      <c r="C36" s="31">
        <f>C21-C31</f>
        <v>2297710</v>
      </c>
      <c r="D36" s="31">
        <f>D21-D31</f>
        <v>4652203960</v>
      </c>
      <c r="E36" s="31">
        <f>E21-E31</f>
        <v>9425362266460</v>
      </c>
      <c r="F36" s="31">
        <f>SUM(C36:E36)</f>
        <v>9430016768130</v>
      </c>
    </row>
    <row r="37" spans="1:6" ht="19.5" customHeight="1" x14ac:dyDescent="0.25">
      <c r="A37" s="27" t="s">
        <v>95</v>
      </c>
      <c r="B37" s="28"/>
      <c r="C37" s="31">
        <f>C36-C34</f>
        <v>2201430</v>
      </c>
      <c r="D37" s="31">
        <f>D36-D34</f>
        <v>4652107680</v>
      </c>
      <c r="E37" s="31">
        <f>E36-E34</f>
        <v>9425362170180</v>
      </c>
      <c r="F37" s="31">
        <f>SUM(C37:E37)</f>
        <v>9430016479290</v>
      </c>
    </row>
    <row r="39" spans="1:6" ht="18.75" customHeight="1" x14ac:dyDescent="0.25">
      <c r="A39" s="51" t="s">
        <v>96</v>
      </c>
      <c r="B39" s="51"/>
      <c r="C39" s="51"/>
      <c r="D39" s="51"/>
      <c r="E39" s="51"/>
      <c r="F39" s="51"/>
    </row>
    <row r="40" spans="1:6" ht="16.5" customHeight="1" x14ac:dyDescent="0.25">
      <c r="A40" s="37" t="s">
        <v>97</v>
      </c>
      <c r="B40" s="38"/>
      <c r="C40" s="39">
        <f>SUM(Supuestos!F5:F15)</f>
        <v>9628</v>
      </c>
      <c r="D40" s="39" t="s">
        <v>98</v>
      </c>
      <c r="E40" s="39" t="s">
        <v>98</v>
      </c>
      <c r="F40" s="39">
        <f>SUM(Supuestos!F5:F15)</f>
        <v>9628</v>
      </c>
    </row>
    <row r="41" spans="1:6" ht="16.5" customHeight="1" x14ac:dyDescent="0.25">
      <c r="A41" s="37" t="s">
        <v>99</v>
      </c>
      <c r="B41" s="38"/>
      <c r="C41" s="40">
        <f>IFERROR(SUM(Supuestos!F5:F15)/AVERAGE(C37:E37),"N/A")</f>
        <v>3.0629851033064916E-9</v>
      </c>
      <c r="D41" s="40" t="s">
        <v>98</v>
      </c>
      <c r="E41" s="40" t="s">
        <v>98</v>
      </c>
      <c r="F41" s="40" t="s">
        <v>98</v>
      </c>
    </row>
    <row r="42" spans="1:6" ht="16.5" customHeight="1" x14ac:dyDescent="0.25">
      <c r="A42" s="37" t="s">
        <v>100</v>
      </c>
      <c r="B42" s="38"/>
      <c r="C42" s="40">
        <f>IFERROR((C31+C34)/(C21/C7),"N/A")</f>
        <v>11.16537520480137</v>
      </c>
      <c r="D42" s="40" t="s">
        <v>98</v>
      </c>
      <c r="E42" s="40" t="s">
        <v>98</v>
      </c>
      <c r="F42" s="40" t="s">
        <v>98</v>
      </c>
    </row>
  </sheetData>
  <mergeCells count="8">
    <mergeCell ref="A24:F24"/>
    <mergeCell ref="A33:F33"/>
    <mergeCell ref="A39:F39"/>
    <mergeCell ref="A1:F1"/>
    <mergeCell ref="A2:F2"/>
    <mergeCell ref="A4:F4"/>
    <mergeCell ref="A9:F9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40" customWidth="1"/>
    <col min="2" max="2" width="18" customWidth="1"/>
    <col min="3" max="3" width="16" customWidth="1"/>
    <col min="4" max="4" width="24" customWidth="1"/>
  </cols>
  <sheetData>
    <row r="1" spans="1:4" ht="25.5" customHeight="1" x14ac:dyDescent="0.25">
      <c r="A1" s="4" t="s">
        <v>101</v>
      </c>
      <c r="B1" s="4"/>
      <c r="C1" s="4"/>
      <c r="D1" s="4"/>
    </row>
    <row r="2" spans="1:4" ht="15.75" customHeight="1" x14ac:dyDescent="0.25">
      <c r="A2" s="13" t="s">
        <v>102</v>
      </c>
      <c r="B2" s="13"/>
      <c r="C2" s="13"/>
      <c r="D2" s="13"/>
    </row>
    <row r="3" spans="1:4" ht="19.5" customHeight="1" x14ac:dyDescent="0.25">
      <c r="A3" s="23" t="s">
        <v>66</v>
      </c>
      <c r="B3" s="23" t="s">
        <v>103</v>
      </c>
      <c r="C3" s="23" t="s">
        <v>104</v>
      </c>
      <c r="D3" s="23" t="s">
        <v>105</v>
      </c>
    </row>
    <row r="4" spans="1:4" ht="16.5" customHeight="1" x14ac:dyDescent="0.25">
      <c r="A4" s="15" t="s">
        <v>17</v>
      </c>
      <c r="B4" s="41">
        <f>Supuestos!F5</f>
        <v>3500</v>
      </c>
      <c r="C4" s="42" t="s">
        <v>106</v>
      </c>
      <c r="D4" s="43" t="s">
        <v>107</v>
      </c>
    </row>
    <row r="5" spans="1:4" ht="16.5" customHeight="1" x14ac:dyDescent="0.25">
      <c r="A5" s="44" t="s">
        <v>19</v>
      </c>
      <c r="B5" s="45">
        <f>Supuestos!F6</f>
        <v>1200</v>
      </c>
      <c r="C5" s="46" t="s">
        <v>106</v>
      </c>
      <c r="D5" s="47" t="s">
        <v>108</v>
      </c>
    </row>
    <row r="6" spans="1:4" ht="16.5" customHeight="1" x14ac:dyDescent="0.25">
      <c r="A6" s="15" t="s">
        <v>22</v>
      </c>
      <c r="B6" s="41">
        <f>Supuestos!F7</f>
        <v>800</v>
      </c>
      <c r="C6" s="42" t="s">
        <v>109</v>
      </c>
      <c r="D6" s="43" t="s">
        <v>110</v>
      </c>
    </row>
    <row r="7" spans="1:4" ht="16.5" customHeight="1" x14ac:dyDescent="0.25">
      <c r="A7" s="44" t="s">
        <v>24</v>
      </c>
      <c r="B7" s="45">
        <f>Supuestos!F8</f>
        <v>600</v>
      </c>
      <c r="C7" s="46" t="s">
        <v>111</v>
      </c>
      <c r="D7" s="47" t="s">
        <v>112</v>
      </c>
    </row>
    <row r="8" spans="1:4" ht="16.5" customHeight="1" x14ac:dyDescent="0.25">
      <c r="A8" s="15" t="s">
        <v>27</v>
      </c>
      <c r="B8" s="41">
        <f>Supuestos!F9</f>
        <v>750</v>
      </c>
      <c r="C8" s="42" t="s">
        <v>109</v>
      </c>
      <c r="D8" s="43" t="s">
        <v>113</v>
      </c>
    </row>
    <row r="9" spans="1:4" ht="16.5" customHeight="1" x14ac:dyDescent="0.25">
      <c r="A9" s="44" t="s">
        <v>28</v>
      </c>
      <c r="B9" s="45">
        <f>Supuestos!F10</f>
        <v>450</v>
      </c>
      <c r="C9" s="46" t="s">
        <v>109</v>
      </c>
      <c r="D9" s="47" t="s">
        <v>113</v>
      </c>
    </row>
    <row r="10" spans="1:4" ht="16.5" customHeight="1" x14ac:dyDescent="0.25">
      <c r="A10" s="15" t="s">
        <v>30</v>
      </c>
      <c r="B10" s="41">
        <f>Supuestos!F11</f>
        <v>300</v>
      </c>
      <c r="C10" s="42" t="s">
        <v>114</v>
      </c>
      <c r="D10" s="43"/>
    </row>
    <row r="11" spans="1:4" ht="16.5" customHeight="1" x14ac:dyDescent="0.25">
      <c r="A11" s="44" t="s">
        <v>32</v>
      </c>
      <c r="B11" s="45">
        <f>Supuestos!F12</f>
        <v>500</v>
      </c>
      <c r="C11" s="46" t="s">
        <v>115</v>
      </c>
      <c r="D11" s="47" t="s">
        <v>116</v>
      </c>
    </row>
    <row r="12" spans="1:4" ht="16.5" customHeight="1" x14ac:dyDescent="0.25">
      <c r="A12" s="15" t="s">
        <v>34</v>
      </c>
      <c r="B12" s="41">
        <f>Supuestos!F13</f>
        <v>400</v>
      </c>
      <c r="C12" s="42" t="s">
        <v>117</v>
      </c>
      <c r="D12" s="43" t="s">
        <v>118</v>
      </c>
    </row>
    <row r="13" spans="1:4" ht="16.5" customHeight="1" x14ac:dyDescent="0.25">
      <c r="A13" s="44" t="s">
        <v>36</v>
      </c>
      <c r="B13" s="45">
        <f>Supuestos!F14</f>
        <v>250</v>
      </c>
      <c r="C13" s="46" t="s">
        <v>119</v>
      </c>
      <c r="D13" s="47" t="s">
        <v>110</v>
      </c>
    </row>
    <row r="14" spans="1:4" ht="16.5" customHeight="1" x14ac:dyDescent="0.25">
      <c r="A14" s="15" t="s">
        <v>38</v>
      </c>
      <c r="B14" s="41">
        <f>Supuestos!F15</f>
        <v>878</v>
      </c>
      <c r="C14" s="42" t="s">
        <v>120</v>
      </c>
      <c r="D14" s="43" t="s">
        <v>121</v>
      </c>
    </row>
    <row r="15" spans="1:4" ht="21.75" customHeight="1" x14ac:dyDescent="0.25">
      <c r="A15" s="48" t="s">
        <v>122</v>
      </c>
      <c r="B15" s="49">
        <f>SUM(Supuestos!F5:F15)</f>
        <v>9628</v>
      </c>
      <c r="C15" s="50"/>
      <c r="D15" s="50"/>
    </row>
    <row r="17" spans="1:4" ht="18" customHeight="1" x14ac:dyDescent="0.25">
      <c r="A17" s="52" t="s">
        <v>123</v>
      </c>
      <c r="B17" s="52"/>
      <c r="C17" s="52"/>
      <c r="D17" s="52"/>
    </row>
  </sheetData>
  <mergeCells count="3">
    <mergeCell ref="A1:D1"/>
    <mergeCell ref="A2:D2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Supuestos</vt:lpstr>
      <vt:lpstr>P&amp;L Anual</vt:lpstr>
      <vt:lpstr>Inversión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Niels</cp:lastModifiedBy>
  <cp:revision>0</cp:revision>
  <dcterms:created xsi:type="dcterms:W3CDTF">2026-03-14T18:04:26Z</dcterms:created>
  <dcterms:modified xsi:type="dcterms:W3CDTF">2026-03-14T23:45:20Z</dcterms:modified>
  <dc:language>en-US</dc:language>
</cp:coreProperties>
</file>